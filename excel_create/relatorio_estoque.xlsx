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shboard" sheetId="1" state="visible" r:id="rId1"/>
    <sheet name="Dados do Estoqu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R$ #,##0.00"/>
  </numFmts>
  <fonts count="7">
    <font>
      <name val="Calibri"/>
      <family val="2"/>
      <color theme="1"/>
      <sz val="11"/>
      <scheme val="minor"/>
    </font>
    <font>
      <name val="Segoe UI"/>
      <b val="1"/>
      <color rgb="00FFFFFF"/>
      <sz val="11"/>
    </font>
    <font>
      <name val="Segoe UI"/>
      <color rgb="00000000"/>
      <sz val="11"/>
    </font>
    <font>
      <name val="Segoe UI"/>
      <b val="1"/>
      <color rgb="00000000"/>
      <sz val="11"/>
    </font>
    <font>
      <name val="Segoe UI"/>
      <b val="1"/>
      <color rgb="001F497D"/>
      <sz val="16"/>
    </font>
    <font>
      <name val="Segoe UI"/>
      <b val="1"/>
      <color rgb="00595959"/>
      <sz val="9"/>
    </font>
    <font>
      <name val="Segoe UI"/>
      <b val="1"/>
      <color rgb="001F497D"/>
      <sz val="18"/>
    </font>
  </fonts>
  <fills count="6">
    <fill>
      <patternFill/>
    </fill>
    <fill>
      <patternFill patternType="gray125"/>
    </fill>
    <fill>
      <patternFill patternType="solid">
        <fgColor rgb="001F497D"/>
        <bgColor rgb="001F497D"/>
      </patternFill>
    </fill>
    <fill>
      <patternFill patternType="solid">
        <fgColor rgb="00F2F5F8"/>
        <bgColor rgb="00F2F5F8"/>
      </patternFill>
    </fill>
    <fill>
      <patternFill patternType="solid">
        <fgColor rgb="00DCE6F1"/>
        <bgColor rgb="00DCE6F1"/>
      </patternFill>
    </fill>
    <fill>
      <patternFill patternType="solid">
        <fgColor rgb="00E9EEF4"/>
        <bgColor rgb="00E9EEF4"/>
      </patternFill>
    </fill>
  </fills>
  <borders count="3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  <border>
      <top style="thin">
        <color rgb="00000000"/>
      </top>
      <bottom style="double">
        <color rgb="00000000"/>
      </bottom>
    </border>
  </borders>
  <cellStyleXfs count="1">
    <xf numFmtId="0" fontId="0" fillId="0" borderId="0"/>
  </cellStyleXfs>
  <cellXfs count="18">
    <xf numFmtId="0" fontId="0" fillId="0" borderId="0" pivotButton="0" quotePrefix="0" xfId="0"/>
    <xf numFmtId="0" fontId="4" fillId="0" borderId="0" pivotButton="0" quotePrefix="0" xfId="0"/>
    <xf numFmtId="0" fontId="5" fillId="5" borderId="1" applyAlignment="1" pivotButton="0" quotePrefix="0" xfId="0">
      <alignment horizontal="center" vertical="center"/>
    </xf>
    <xf numFmtId="0" fontId="0" fillId="5" borderId="1" applyAlignment="1" pivotButton="0" quotePrefix="0" xfId="0">
      <alignment horizontal="center" vertical="center"/>
    </xf>
    <xf numFmtId="0" fontId="6" fillId="5" borderId="1" applyAlignment="1" pivotButton="0" quotePrefix="0" xfId="0">
      <alignment horizontal="center" vertical="center"/>
    </xf>
    <xf numFmtId="3" fontId="6" fillId="5" borderId="1" applyAlignment="1" pivotButton="0" quotePrefix="0" xfId="0">
      <alignment horizontal="center" vertical="center"/>
    </xf>
    <xf numFmtId="164" fontId="6" fillId="5" borderId="1" applyAlignment="1" pivotButton="0" quotePrefix="0" xfId="0">
      <alignment horizontal="center" vertical="center"/>
    </xf>
    <xf numFmtId="0" fontId="1" fillId="2" borderId="0" applyAlignment="1" pivotButton="0" quotePrefix="0" xfId="0">
      <alignment horizontal="center" vertical="center"/>
    </xf>
    <xf numFmtId="0" fontId="2" fillId="0" borderId="1" applyAlignment="1" pivotButton="0" quotePrefix="0" xfId="0">
      <alignment horizontal="left"/>
    </xf>
    <xf numFmtId="164" fontId="2" fillId="0" borderId="1" pivotButton="0" quotePrefix="0" xfId="0"/>
    <xf numFmtId="3" fontId="2" fillId="0" borderId="1" pivotButton="0" quotePrefix="0" xfId="0"/>
    <xf numFmtId="0" fontId="2" fillId="3" borderId="1" applyAlignment="1" pivotButton="0" quotePrefix="0" xfId="0">
      <alignment horizontal="left"/>
    </xf>
    <xf numFmtId="164" fontId="2" fillId="3" borderId="1" pivotButton="0" quotePrefix="0" xfId="0"/>
    <xf numFmtId="3" fontId="2" fillId="3" borderId="1" pivotButton="0" quotePrefix="0" xfId="0"/>
    <xf numFmtId="0" fontId="3" fillId="4" borderId="2" pivotButton="0" quotePrefix="0" xfId="0"/>
    <xf numFmtId="0" fontId="0" fillId="4" borderId="2" applyAlignment="1" pivotButton="0" quotePrefix="0" xfId="0">
      <alignment horizontal="right"/>
    </xf>
    <xf numFmtId="3" fontId="0" fillId="4" borderId="2" applyAlignment="1" pivotButton="0" quotePrefix="0" xfId="0">
      <alignment horizontal="center"/>
    </xf>
    <xf numFmtId="164" fontId="0" fillId="4" borderId="2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I5"/>
  <sheetViews>
    <sheetView showGridLines="1" workbookViewId="0">
      <selection activeCell="A1" sqref="A1"/>
    </sheetView>
  </sheetViews>
  <sheetFormatPr baseColWidth="8" defaultRowHeight="15"/>
  <cols>
    <col width="13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</cols>
  <sheetData>
    <row r="2">
      <c r="B2" s="1" t="inlineStr">
        <is>
          <t>Relatório Gerencial de Estoque</t>
        </is>
      </c>
    </row>
    <row r="4">
      <c r="B4" s="2" t="inlineStr">
        <is>
          <t>PRODUTOS CADASTRADOS</t>
        </is>
      </c>
      <c r="C4" s="3" t="n"/>
      <c r="E4" s="2" t="inlineStr">
        <is>
          <t>TOTAL DE UNIDADES</t>
        </is>
      </c>
      <c r="F4" s="3" t="n"/>
      <c r="H4" s="2" t="inlineStr">
        <is>
          <t>VALOR DO FINANCEIRO</t>
        </is>
      </c>
      <c r="I4" s="3" t="n"/>
    </row>
    <row r="5">
      <c r="B5" s="4" t="n">
        <v>100</v>
      </c>
      <c r="C5" s="3" t="n"/>
      <c r="E5" s="5">
        <f>'Dados do Estoque'!C103</f>
        <v/>
      </c>
      <c r="F5" s="3" t="n"/>
      <c r="H5" s="6">
        <f>'Dados do Estoque'!D103</f>
        <v/>
      </c>
      <c r="I5" s="3" t="n"/>
    </row>
  </sheetData>
  <mergeCells count="6">
    <mergeCell ref="E4:F4"/>
    <mergeCell ref="B5:C5"/>
    <mergeCell ref="E5:F5"/>
    <mergeCell ref="H5:I5"/>
    <mergeCell ref="H4:I4"/>
    <mergeCell ref="B4:C4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03"/>
  <sheetViews>
    <sheetView showGridLines="1" workbookViewId="0">
      <selection activeCell="A1" sqref="A1"/>
    </sheetView>
  </sheetViews>
  <sheetFormatPr baseColWidth="8" defaultRowHeight="15"/>
  <cols>
    <col width="50" customWidth="1" min="1" max="1"/>
    <col width="18" customWidth="1" min="2" max="2"/>
    <col width="18" customWidth="1" min="3" max="3"/>
    <col width="20" customWidth="1" min="4" max="4"/>
  </cols>
  <sheetData>
    <row r="1"/>
    <row r="2">
      <c r="A2" s="7" t="inlineStr">
        <is>
          <t>Produto</t>
        </is>
      </c>
      <c r="B2" s="7" t="inlineStr">
        <is>
          <t>Preço Unitário</t>
        </is>
      </c>
      <c r="C2" s="7" t="inlineStr">
        <is>
          <t>Qtd em Estoque</t>
        </is>
      </c>
      <c r="D2" s="7" t="inlineStr">
        <is>
          <t>Valor em Estoque</t>
        </is>
      </c>
    </row>
    <row r="3">
      <c r="A3" s="8" t="inlineStr">
        <is>
          <t>Processador AMD Ryzen 5 5600X Ref-824</t>
        </is>
      </c>
      <c r="B3" s="9" t="n">
        <v>984.3</v>
      </c>
      <c r="C3" s="10" t="n">
        <v>189</v>
      </c>
      <c r="D3" s="9">
        <f>B3*C3</f>
        <v/>
      </c>
    </row>
    <row r="4">
      <c r="A4" s="11" t="inlineStr">
        <is>
          <t>Bateria Moura 60Ah M60GD Ref-551</t>
        </is>
      </c>
      <c r="B4" s="12" t="n">
        <v>532.15</v>
      </c>
      <c r="C4" s="13" t="n">
        <v>42</v>
      </c>
      <c r="D4" s="12">
        <f>B4*C4</f>
        <v/>
      </c>
    </row>
    <row r="5">
      <c r="A5" s="8" t="inlineStr">
        <is>
          <t>Filtro de Óleo Fram Wega Ref-442</t>
        </is>
      </c>
      <c r="B5" s="9" t="n">
        <v>42.8</v>
      </c>
      <c r="C5" s="10" t="n">
        <v>310</v>
      </c>
      <c r="D5" s="9">
        <f>B5*C5</f>
        <v/>
      </c>
    </row>
    <row r="6">
      <c r="A6" s="11" t="inlineStr">
        <is>
          <t>Memória RAM Corsair Vengeance 8GB DDR4 Ref-109</t>
        </is>
      </c>
      <c r="B6" s="12" t="n">
        <v>210.45</v>
      </c>
      <c r="C6" s="13" t="n">
        <v>154</v>
      </c>
      <c r="D6" s="12">
        <f>B6*C6</f>
        <v/>
      </c>
    </row>
    <row r="7">
      <c r="A7" s="8" t="inlineStr">
        <is>
          <t>Pastilha de Freio Dianteira Brembo Ref-673</t>
        </is>
      </c>
      <c r="B7" s="9" t="n">
        <v>195.6</v>
      </c>
      <c r="C7" s="10" t="n">
        <v>88</v>
      </c>
      <c r="D7" s="9">
        <f>B7*C7</f>
        <v/>
      </c>
    </row>
    <row r="8">
      <c r="A8" s="11" t="inlineStr">
        <is>
          <t>Placa de Vídeo RTX 4060 Ref-201</t>
        </is>
      </c>
      <c r="B8" s="12" t="n">
        <v>2150</v>
      </c>
      <c r="C8" s="13" t="n">
        <v>34</v>
      </c>
      <c r="D8" s="12">
        <f>B8*C8</f>
        <v/>
      </c>
    </row>
    <row r="9">
      <c r="A9" s="8" t="inlineStr">
        <is>
          <t>SSD Kingston NV2 1TB NVMe Ref-889</t>
        </is>
      </c>
      <c r="B9" s="9" t="n">
        <v>399.9</v>
      </c>
      <c r="C9" s="10" t="n">
        <v>240</v>
      </c>
      <c r="D9" s="9">
        <f>B9*C9</f>
        <v/>
      </c>
    </row>
    <row r="10">
      <c r="A10" s="11" t="inlineStr">
        <is>
          <t>Disco de Freio Ventilado Fremax Ref-341</t>
        </is>
      </c>
      <c r="B10" s="12" t="n">
        <v>285.4</v>
      </c>
      <c r="C10" s="13" t="n">
        <v>65</v>
      </c>
      <c r="D10" s="12">
        <f>B10*C10</f>
        <v/>
      </c>
    </row>
    <row r="11">
      <c r="A11" s="8" t="inlineStr">
        <is>
          <t>Monitor LG UltraGear 24" IPS Ref-762</t>
        </is>
      </c>
      <c r="B11" s="9" t="n">
        <v>1050</v>
      </c>
      <c r="C11" s="10" t="n">
        <v>51</v>
      </c>
      <c r="D11" s="9">
        <f>B11*C11</f>
        <v/>
      </c>
    </row>
    <row r="12">
      <c r="A12" s="11" t="inlineStr">
        <is>
          <t>Amortecedor Dianteiro Monroe Ref-129</t>
        </is>
      </c>
      <c r="B12" s="12" t="n">
        <v>480</v>
      </c>
      <c r="C12" s="13" t="n">
        <v>28</v>
      </c>
      <c r="D12" s="12">
        <f>B12*C12</f>
        <v/>
      </c>
    </row>
    <row r="13">
      <c r="A13" s="8" t="inlineStr">
        <is>
          <t>Óleo de Motor Castrol Magnatec 5W40 1L Ref-611</t>
        </is>
      </c>
      <c r="B13" s="9" t="n">
        <v>59.9</v>
      </c>
      <c r="C13" s="10" t="n">
        <v>410</v>
      </c>
      <c r="D13" s="9">
        <f>B13*C13</f>
        <v/>
      </c>
    </row>
    <row r="14">
      <c r="A14" s="11" t="inlineStr">
        <is>
          <t>Placa-Mãe ASUS Prime B550M Ref-523</t>
        </is>
      </c>
      <c r="B14" s="12" t="n">
        <v>749</v>
      </c>
      <c r="C14" s="13" t="n">
        <v>92</v>
      </c>
      <c r="D14" s="12">
        <f>B14*C14</f>
        <v/>
      </c>
    </row>
    <row r="15">
      <c r="A15" s="8" t="inlineStr">
        <is>
          <t>Palheta do Limpador Bosch Aerotwin Ref-404</t>
        </is>
      </c>
      <c r="B15" s="9" t="n">
        <v>115</v>
      </c>
      <c r="C15" s="10" t="n">
        <v>175</v>
      </c>
      <c r="D15" s="9">
        <f>B15*C15</f>
        <v/>
      </c>
    </row>
    <row r="16">
      <c r="A16" s="11" t="inlineStr">
        <is>
          <t>Fonte Corsair CV550 550W Ref-892</t>
        </is>
      </c>
      <c r="B16" s="12" t="n">
        <v>365.5</v>
      </c>
      <c r="C16" s="13" t="n">
        <v>113</v>
      </c>
      <c r="D16" s="12">
        <f>B16*C16</f>
        <v/>
      </c>
    </row>
    <row r="17">
      <c r="A17" s="8" t="inlineStr">
        <is>
          <t>Vela de Ignição NGK Iridium Ref-712</t>
        </is>
      </c>
      <c r="B17" s="9" t="n">
        <v>65</v>
      </c>
      <c r="C17" s="10" t="n">
        <v>290</v>
      </c>
      <c r="D17" s="9">
        <f>B17*C17</f>
        <v/>
      </c>
    </row>
    <row r="18">
      <c r="A18" s="11" t="inlineStr">
        <is>
          <t>Processador AMD Ryzen 7 5700X Ref-112</t>
        </is>
      </c>
      <c r="B18" s="12" t="n">
        <v>1199</v>
      </c>
      <c r="C18" s="13" t="n">
        <v>74</v>
      </c>
      <c r="D18" s="12">
        <f>B18*C18</f>
        <v/>
      </c>
    </row>
    <row r="19">
      <c r="A19" s="8" t="inlineStr">
        <is>
          <t>Bateria Heliar 60Ah HF60GD Ref-903</t>
        </is>
      </c>
      <c r="B19" s="9" t="n">
        <v>510</v>
      </c>
      <c r="C19" s="10" t="n">
        <v>53</v>
      </c>
      <c r="D19" s="9">
        <f>B19*C19</f>
        <v/>
      </c>
    </row>
    <row r="20">
      <c r="A20" s="11" t="inlineStr">
        <is>
          <t>Filtro de Combustível Tecfil Ref-332</t>
        </is>
      </c>
      <c r="B20" s="12" t="n">
        <v>38.5</v>
      </c>
      <c r="C20" s="13" t="n">
        <v>420</v>
      </c>
      <c r="D20" s="12">
        <f>B20*C20</f>
        <v/>
      </c>
    </row>
    <row r="21">
      <c r="A21" s="8" t="inlineStr">
        <is>
          <t>Memória RAM Kingston Fury 16GB Ref-445</t>
        </is>
      </c>
      <c r="B21" s="9" t="n">
        <v>389</v>
      </c>
      <c r="C21" s="10" t="n">
        <v>198</v>
      </c>
      <c r="D21" s="9">
        <f>B21*C21</f>
        <v/>
      </c>
    </row>
    <row r="22">
      <c r="A22" s="11" t="inlineStr">
        <is>
          <t>Pastilha de Freio Cobreq Dianteira Ref-212</t>
        </is>
      </c>
      <c r="B22" s="12" t="n">
        <v>145</v>
      </c>
      <c r="C22" s="13" t="n">
        <v>112</v>
      </c>
      <c r="D22" s="12">
        <f>B22*C22</f>
        <v/>
      </c>
    </row>
    <row r="23">
      <c r="A23" s="8" t="inlineStr">
        <is>
          <t>Placa de Vídeo RTX 3060 MSI Ref-765</t>
        </is>
      </c>
      <c r="B23" s="9" t="n">
        <v>1850</v>
      </c>
      <c r="C23" s="10" t="n">
        <v>41</v>
      </c>
      <c r="D23" s="9">
        <f>B23*C23</f>
        <v/>
      </c>
    </row>
    <row r="24">
      <c r="A24" s="11" t="inlineStr">
        <is>
          <t>SSD Crucial BX500 480GB Ref-221</t>
        </is>
      </c>
      <c r="B24" s="12" t="n">
        <v>245</v>
      </c>
      <c r="C24" s="13" t="n">
        <v>165</v>
      </c>
      <c r="D24" s="12">
        <f>B24*C24</f>
        <v/>
      </c>
    </row>
    <row r="25">
      <c r="A25" s="8" t="inlineStr">
        <is>
          <t>Disco de Freio Traseiro TRW Ref-809</t>
        </is>
      </c>
      <c r="B25" s="9" t="n">
        <v>189.9</v>
      </c>
      <c r="C25" s="10" t="n">
        <v>78</v>
      </c>
      <c r="D25" s="9">
        <f>B25*C25</f>
        <v/>
      </c>
    </row>
    <row r="26">
      <c r="A26" s="11" t="inlineStr">
        <is>
          <t>Monitor Samsung T350 24" Ref-543</t>
        </is>
      </c>
      <c r="B26" s="12" t="n">
        <v>799</v>
      </c>
      <c r="C26" s="13" t="n">
        <v>62</v>
      </c>
      <c r="D26" s="12">
        <f>B26*C26</f>
        <v/>
      </c>
    </row>
    <row r="27">
      <c r="A27" s="8" t="inlineStr">
        <is>
          <t>Amortecedor Traseiro Cofap Ref-602</t>
        </is>
      </c>
      <c r="B27" s="9" t="n">
        <v>390</v>
      </c>
      <c r="C27" s="10" t="n">
        <v>45</v>
      </c>
      <c r="D27" s="9">
        <f>B27*C27</f>
        <v/>
      </c>
    </row>
    <row r="28">
      <c r="A28" s="11" t="inlineStr">
        <is>
          <t>Óleo de Motor Shell Helix 5W30 1L Ref-311</t>
        </is>
      </c>
      <c r="B28" s="12" t="n">
        <v>64.90000000000001</v>
      </c>
      <c r="C28" s="13" t="n">
        <v>380</v>
      </c>
      <c r="D28" s="12">
        <f>B28*C28</f>
        <v/>
      </c>
    </row>
    <row r="29">
      <c r="A29" s="8" t="inlineStr">
        <is>
          <t>Placa-Mãe Gigabyte B450M Ref-887</t>
        </is>
      </c>
      <c r="B29" s="9" t="n">
        <v>629</v>
      </c>
      <c r="C29" s="10" t="n">
        <v>105</v>
      </c>
      <c r="D29" s="9">
        <f>B29*C29</f>
        <v/>
      </c>
    </row>
    <row r="30">
      <c r="A30" s="11" t="inlineStr">
        <is>
          <t>Palheta do Limpador Dyna Slim Ref-441</t>
        </is>
      </c>
      <c r="B30" s="12" t="n">
        <v>85</v>
      </c>
      <c r="C30" s="13" t="n">
        <v>210</v>
      </c>
      <c r="D30" s="12">
        <f>B30*C30</f>
        <v/>
      </c>
    </row>
    <row r="31">
      <c r="A31" s="8" t="inlineStr">
        <is>
          <t>Fonte EVGA 600W 80 Plus Ref-901</t>
        </is>
      </c>
      <c r="B31" s="9" t="n">
        <v>399</v>
      </c>
      <c r="C31" s="10" t="n">
        <v>87</v>
      </c>
      <c r="D31" s="9">
        <f>B31*C31</f>
        <v/>
      </c>
    </row>
    <row r="32">
      <c r="A32" s="11" t="inlineStr">
        <is>
          <t>Vela de Ignição Bosch Super 4 Ref-123</t>
        </is>
      </c>
      <c r="B32" s="12" t="n">
        <v>48</v>
      </c>
      <c r="C32" s="13" t="n">
        <v>340</v>
      </c>
      <c r="D32" s="12">
        <f>B32*C32</f>
        <v/>
      </c>
    </row>
    <row r="33">
      <c r="A33" s="8" t="inlineStr">
        <is>
          <t>Processador Intel Core i5 12400F Ref-554</t>
        </is>
      </c>
      <c r="B33" s="9" t="n">
        <v>915</v>
      </c>
      <c r="C33" s="10" t="n">
        <v>120</v>
      </c>
      <c r="D33" s="9">
        <f>B33*C33</f>
        <v/>
      </c>
    </row>
    <row r="34">
      <c r="A34" s="11" t="inlineStr">
        <is>
          <t>Bateria ACDelco 60Ah Ref-702</t>
        </is>
      </c>
      <c r="B34" s="12" t="n">
        <v>499</v>
      </c>
      <c r="C34" s="13" t="n">
        <v>39</v>
      </c>
      <c r="D34" s="12">
        <f>B34*C34</f>
        <v/>
      </c>
    </row>
    <row r="35">
      <c r="A35" s="8" t="inlineStr">
        <is>
          <t>Filtro de Ar Motores Mann Filter Ref-881</t>
        </is>
      </c>
      <c r="B35" s="9" t="n">
        <v>52</v>
      </c>
      <c r="C35" s="10" t="n">
        <v>280</v>
      </c>
      <c r="D35" s="9">
        <f>B35*C35</f>
        <v/>
      </c>
    </row>
    <row r="36">
      <c r="A36" s="11" t="inlineStr">
        <is>
          <t>Memória RAM XPG Spectrix 8GB Ref-992</t>
        </is>
      </c>
      <c r="B36" s="12" t="n">
        <v>235</v>
      </c>
      <c r="C36" s="13" t="n">
        <v>142</v>
      </c>
      <c r="D36" s="12">
        <f>B36*C36</f>
        <v/>
      </c>
    </row>
    <row r="37">
      <c r="A37" s="8" t="inlineStr">
        <is>
          <t>Pastilha de Freio Dianteira Fras-le Ref-104</t>
        </is>
      </c>
      <c r="B37" s="9" t="n">
        <v>138</v>
      </c>
      <c r="C37" s="10" t="n">
        <v>135</v>
      </c>
      <c r="D37" s="9">
        <f>B37*C37</f>
        <v/>
      </c>
    </row>
    <row r="38">
      <c r="A38" s="11" t="inlineStr">
        <is>
          <t>Placa de Vídeo GTX 1650 Speedster Ref-305</t>
        </is>
      </c>
      <c r="B38" s="12" t="n">
        <v>949</v>
      </c>
      <c r="C38" s="13" t="n">
        <v>29</v>
      </c>
      <c r="D38" s="12">
        <f>B38*C38</f>
        <v/>
      </c>
    </row>
    <row r="39">
      <c r="A39" s="8" t="inlineStr">
        <is>
          <t>SSD SanDisk Plus 1TB SATA Ref-402</t>
        </is>
      </c>
      <c r="B39" s="9" t="n">
        <v>369</v>
      </c>
      <c r="C39" s="10" t="n">
        <v>115</v>
      </c>
      <c r="D39" s="9">
        <f>B39*C39</f>
        <v/>
      </c>
    </row>
    <row r="40">
      <c r="A40" s="11" t="inlineStr">
        <is>
          <t>Disco de Freio Dianteira Hipper Freios Ref-771</t>
        </is>
      </c>
      <c r="B40" s="12" t="n">
        <v>165</v>
      </c>
      <c r="C40" s="13" t="n">
        <v>95</v>
      </c>
      <c r="D40" s="12">
        <f>B40*C40</f>
        <v/>
      </c>
    </row>
    <row r="41">
      <c r="A41" s="8" t="inlineStr">
        <is>
          <t>Monitor ASUS VP228H 21.5" Ref-662</t>
        </is>
      </c>
      <c r="B41" s="9" t="n">
        <v>699</v>
      </c>
      <c r="C41" s="10" t="n">
        <v>48</v>
      </c>
      <c r="D41" s="9">
        <f>B41*C41</f>
        <v/>
      </c>
    </row>
    <row r="42">
      <c r="A42" s="11" t="inlineStr">
        <is>
          <t>Amortecedor Dianteiro Nakata Ref-339</t>
        </is>
      </c>
      <c r="B42" s="12" t="n">
        <v>425</v>
      </c>
      <c r="C42" s="13" t="n">
        <v>36</v>
      </c>
      <c r="D42" s="12">
        <f>B42*C42</f>
        <v/>
      </c>
    </row>
    <row r="43">
      <c r="A43" s="8" t="inlineStr">
        <is>
          <t>Óleo de Motor Selenia 15W40 1L Ref-502</t>
        </is>
      </c>
      <c r="B43" s="9" t="n">
        <v>45.5</v>
      </c>
      <c r="C43" s="10" t="n">
        <v>290</v>
      </c>
      <c r="D43" s="9">
        <f>B43*C43</f>
        <v/>
      </c>
    </row>
    <row r="44">
      <c r="A44" s="11" t="inlineStr">
        <is>
          <t>Placa-Mãe MSI Mag B550 Ref-883</t>
        </is>
      </c>
      <c r="B44" s="12" t="n">
        <v>899</v>
      </c>
      <c r="C44" s="13" t="n">
        <v>64</v>
      </c>
      <c r="D44" s="12">
        <f>B44*C44</f>
        <v/>
      </c>
    </row>
    <row r="45">
      <c r="A45" s="8" t="inlineStr">
        <is>
          <t>Palheta Limpador Valeo Cibié Ref-219</t>
        </is>
      </c>
      <c r="B45" s="9" t="n">
        <v>95</v>
      </c>
      <c r="C45" s="10" t="n">
        <v>160</v>
      </c>
      <c r="D45" s="9">
        <f>B45*C45</f>
        <v/>
      </c>
    </row>
    <row r="46">
      <c r="A46" s="11" t="inlineStr">
        <is>
          <t>Fonte XPG Pylon 650W Ref-774</t>
        </is>
      </c>
      <c r="B46" s="12" t="n">
        <v>415</v>
      </c>
      <c r="C46" s="13" t="n">
        <v>93</v>
      </c>
      <c r="D46" s="12">
        <f>B46*C46</f>
        <v/>
      </c>
    </row>
    <row r="47">
      <c r="A47" s="8" t="inlineStr">
        <is>
          <t>Vela de Ignição Magneti Marelli Ref-661</t>
        </is>
      </c>
      <c r="B47" s="9" t="n">
        <v>35</v>
      </c>
      <c r="C47" s="10" t="n">
        <v>410</v>
      </c>
      <c r="D47" s="9">
        <f>B47*C47</f>
        <v/>
      </c>
    </row>
    <row r="48">
      <c r="A48" s="11" t="inlineStr">
        <is>
          <t>Processador AMD Ryzen 5 4500 Ref-102</t>
        </is>
      </c>
      <c r="B48" s="12" t="n">
        <v>549</v>
      </c>
      <c r="C48" s="13" t="n">
        <v>155</v>
      </c>
      <c r="D48" s="12">
        <f>B48*C48</f>
        <v/>
      </c>
    </row>
    <row r="49">
      <c r="A49" s="8" t="inlineStr">
        <is>
          <t>Bateria Bosch 60Ah S5 Ref-991</t>
        </is>
      </c>
      <c r="B49" s="9" t="n">
        <v>589</v>
      </c>
      <c r="C49" s="10" t="n">
        <v>47</v>
      </c>
      <c r="D49" s="9">
        <f>B49*C49</f>
        <v/>
      </c>
    </row>
    <row r="50">
      <c r="A50" s="11" t="inlineStr">
        <is>
          <t>Filtro de Óleo Bosch Premium Ref-552</t>
        </is>
      </c>
      <c r="B50" s="12" t="n">
        <v>49.9</v>
      </c>
      <c r="C50" s="13" t="n">
        <v>490</v>
      </c>
      <c r="D50" s="12">
        <f>B50*C50</f>
        <v/>
      </c>
    </row>
    <row r="51">
      <c r="A51" s="8" t="inlineStr">
        <is>
          <t>Memória RAM Geil Orion 16GB Ref-304</t>
        </is>
      </c>
      <c r="B51" s="9" t="n">
        <v>349</v>
      </c>
      <c r="C51" s="10" t="n">
        <v>88</v>
      </c>
      <c r="D51" s="9">
        <f>B51*C51</f>
        <v/>
      </c>
    </row>
    <row r="52">
      <c r="A52" s="11" t="inlineStr">
        <is>
          <t>Pastilha de Freio Dianteira Willtec Ref-801</t>
        </is>
      </c>
      <c r="B52" s="12" t="n">
        <v>112</v>
      </c>
      <c r="C52" s="13" t="n">
        <v>160</v>
      </c>
      <c r="D52" s="12">
        <f>B52*C52</f>
        <v/>
      </c>
    </row>
    <row r="53">
      <c r="A53" s="8" t="inlineStr">
        <is>
          <t>Placa de Vídeo RX 6600 V2 Ref-441</t>
        </is>
      </c>
      <c r="B53" s="9" t="n">
        <v>1499</v>
      </c>
      <c r="C53" s="10" t="n">
        <v>52</v>
      </c>
      <c r="D53" s="9">
        <f>B53*C53</f>
        <v/>
      </c>
    </row>
    <row r="54">
      <c r="A54" s="11" t="inlineStr">
        <is>
          <t>SSD XPG SFT 1TB NVMe Ref-663</t>
        </is>
      </c>
      <c r="B54" s="12" t="n">
        <v>429</v>
      </c>
      <c r="C54" s="13" t="n">
        <v>134</v>
      </c>
      <c r="D54" s="12">
        <f>B54*C54</f>
        <v/>
      </c>
    </row>
    <row r="55">
      <c r="A55" s="8" t="inlineStr">
        <is>
          <t>Disco de Freio Traseiro Vargas Ref-904</t>
        </is>
      </c>
      <c r="B55" s="9" t="n">
        <v>155</v>
      </c>
      <c r="C55" s="10" t="n">
        <v>62</v>
      </c>
      <c r="D55" s="9">
        <f>B55*C55</f>
        <v/>
      </c>
    </row>
    <row r="56">
      <c r="A56" s="11" t="inlineStr">
        <is>
          <t>Monitor AOC Hero 24" 144Hz Ref-221</t>
        </is>
      </c>
      <c r="B56" s="12" t="n">
        <v>1199</v>
      </c>
      <c r="C56" s="13" t="n">
        <v>41</v>
      </c>
      <c r="D56" s="12">
        <f>B56*C56</f>
        <v/>
      </c>
    </row>
    <row r="57">
      <c r="A57" s="8" t="inlineStr">
        <is>
          <t>Amortecedor Traseiro Kyb Ref-504</t>
        </is>
      </c>
      <c r="B57" s="9" t="n">
        <v>460</v>
      </c>
      <c r="C57" s="10" t="n">
        <v>54</v>
      </c>
      <c r="D57" s="9">
        <f>B57*C57</f>
        <v/>
      </c>
    </row>
    <row r="58">
      <c r="A58" s="11" t="inlineStr">
        <is>
          <t>Óleo de Motor Lubrax Tecno 10W40 Ref-882</t>
        </is>
      </c>
      <c r="B58" s="12" t="n">
        <v>42</v>
      </c>
      <c r="C58" s="13" t="n">
        <v>330</v>
      </c>
      <c r="D58" s="12">
        <f>B58*C58</f>
        <v/>
      </c>
    </row>
    <row r="59">
      <c r="A59" s="8" t="inlineStr">
        <is>
          <t>Placa-Mãe Biostar H510M Ref-109</t>
        </is>
      </c>
      <c r="B59" s="9" t="n">
        <v>489</v>
      </c>
      <c r="C59" s="10" t="n">
        <v>76</v>
      </c>
      <c r="D59" s="9">
        <f>B59*C59</f>
        <v/>
      </c>
    </row>
    <row r="60">
      <c r="A60" s="11" t="inlineStr">
        <is>
          <t>Palheta Limpador Trico Flex Ref-331</t>
        </is>
      </c>
      <c r="B60" s="12" t="n">
        <v>75</v>
      </c>
      <c r="C60" s="13" t="n">
        <v>195</v>
      </c>
      <c r="D60" s="12">
        <f>B60*C60</f>
        <v/>
      </c>
    </row>
    <row r="61">
      <c r="A61" s="8" t="inlineStr">
        <is>
          <t>Fonte Aerocool KCAS 500W Ref-772</t>
        </is>
      </c>
      <c r="B61" s="9" t="n">
        <v>289</v>
      </c>
      <c r="C61" s="10" t="n">
        <v>112</v>
      </c>
      <c r="D61" s="9">
        <f>B61*C61</f>
        <v/>
      </c>
    </row>
    <row r="62">
      <c r="A62" s="11" t="inlineStr">
        <is>
          <t>Vela de Ignição Denso Iridium Ref-449</t>
        </is>
      </c>
      <c r="B62" s="12" t="n">
        <v>79.90000000000001</v>
      </c>
      <c r="C62" s="13" t="n">
        <v>240</v>
      </c>
      <c r="D62" s="12">
        <f>B62*C62</f>
        <v/>
      </c>
    </row>
    <row r="63">
      <c r="A63" s="8" t="inlineStr">
        <is>
          <t>Processador Intel Core i3 12100F Ref-501</t>
        </is>
      </c>
      <c r="B63" s="9" t="n">
        <v>649</v>
      </c>
      <c r="C63" s="10" t="n">
        <v>134</v>
      </c>
      <c r="D63" s="9">
        <f>B63*C63</f>
        <v/>
      </c>
    </row>
    <row r="64">
      <c r="A64" s="11" t="inlineStr">
        <is>
          <t>Bateria Cral 60Ah CL60HD Ref-994</t>
        </is>
      </c>
      <c r="B64" s="12" t="n">
        <v>429</v>
      </c>
      <c r="C64" s="13" t="n">
        <v>58</v>
      </c>
      <c r="D64" s="12">
        <f>B64*C64</f>
        <v/>
      </c>
    </row>
    <row r="65">
      <c r="A65" s="8" t="inlineStr">
        <is>
          <t>Filtro de Ar Condicionado Filter Ref-223</t>
        </is>
      </c>
      <c r="B65" s="9" t="n">
        <v>29.9</v>
      </c>
      <c r="C65" s="10" t="n">
        <v>520</v>
      </c>
      <c r="D65" s="9">
        <f>B65*C65</f>
        <v/>
      </c>
    </row>
    <row r="66">
      <c r="A66" s="11" t="inlineStr">
        <is>
          <t>Memória RAM Team Group 8GB Ref-551</t>
        </is>
      </c>
      <c r="B66" s="12" t="n">
        <v>189</v>
      </c>
      <c r="C66" s="13" t="n">
        <v>210</v>
      </c>
      <c r="D66" s="12">
        <f>B66*C66</f>
        <v/>
      </c>
    </row>
    <row r="67">
      <c r="A67" s="8" t="inlineStr">
        <is>
          <t>Pastilha de Freio Traseira Bosch Ref-803</t>
        </is>
      </c>
      <c r="B67" s="9" t="n">
        <v>165</v>
      </c>
      <c r="C67" s="10" t="n">
        <v>94</v>
      </c>
      <c r="D67" s="9">
        <f>B67*C67</f>
        <v/>
      </c>
    </row>
    <row r="68">
      <c r="A68" s="11" t="inlineStr">
        <is>
          <t>Placa de Vídeo RTX 4070 Dual Ref-104</t>
        </is>
      </c>
      <c r="B68" s="12" t="n">
        <v>4399</v>
      </c>
      <c r="C68" s="13" t="n">
        <v>21</v>
      </c>
      <c r="D68" s="12">
        <f>B68*C68</f>
        <v/>
      </c>
    </row>
    <row r="69">
      <c r="A69" s="8" t="inlineStr">
        <is>
          <t>SSD WD Green 480GB SATA Ref-668</t>
        </is>
      </c>
      <c r="B69" s="9" t="n">
        <v>259</v>
      </c>
      <c r="C69" s="10" t="n">
        <v>185</v>
      </c>
      <c r="D69" s="9">
        <f>B69*C69</f>
        <v/>
      </c>
    </row>
    <row r="70">
      <c r="A70" s="11" t="inlineStr">
        <is>
          <t>Disco de Freio Dianteiro MDS Ref-334</t>
        </is>
      </c>
      <c r="B70" s="12" t="n">
        <v>148</v>
      </c>
      <c r="C70" s="13" t="n">
        <v>84</v>
      </c>
      <c r="D70" s="12">
        <f>B70*C70</f>
        <v/>
      </c>
    </row>
    <row r="71">
      <c r="A71" s="8" t="inlineStr">
        <is>
          <t>Monitor Acer Nitro 23.8" Ref-779</t>
        </is>
      </c>
      <c r="B71" s="9" t="n">
        <v>949</v>
      </c>
      <c r="C71" s="10" t="n">
        <v>53</v>
      </c>
      <c r="D71" s="9">
        <f>B71*C71</f>
        <v/>
      </c>
    </row>
    <row r="72">
      <c r="A72" s="11" t="inlineStr">
        <is>
          <t>Amortecedor Dianteiro Corven Ref-202</t>
        </is>
      </c>
      <c r="B72" s="12" t="n">
        <v>360</v>
      </c>
      <c r="C72" s="13" t="n">
        <v>42</v>
      </c>
      <c r="D72" s="12">
        <f>B72*C72</f>
        <v/>
      </c>
    </row>
    <row r="73">
      <c r="A73" s="8" t="inlineStr">
        <is>
          <t>Óleo de Motor Havoline 5W30 1L Ref-559</t>
        </is>
      </c>
      <c r="B73" s="9" t="n">
        <v>54.9</v>
      </c>
      <c r="C73" s="10" t="n">
        <v>360</v>
      </c>
      <c r="D73" s="9">
        <f>B73*C73</f>
        <v/>
      </c>
    </row>
    <row r="74">
      <c r="A74" s="11" t="inlineStr">
        <is>
          <t>Placa-Mãe ASUS TUF Gaming B550M Ref-884</t>
        </is>
      </c>
      <c r="B74" s="12" t="n">
        <v>999</v>
      </c>
      <c r="C74" s="13" t="n">
        <v>82</v>
      </c>
      <c r="D74" s="12">
        <f>B74*C74</f>
        <v/>
      </c>
    </row>
    <row r="75">
      <c r="A75" s="8" t="inlineStr">
        <is>
          <t>Palheta do Limpador Valeo Evolution Ref-111</t>
        </is>
      </c>
      <c r="B75" s="9" t="n">
        <v>105</v>
      </c>
      <c r="C75" s="10" t="n">
        <v>140</v>
      </c>
      <c r="D75" s="9">
        <f>B75*C75</f>
        <v/>
      </c>
    </row>
    <row r="76">
      <c r="A76" s="11" t="inlineStr">
        <is>
          <t>Fonte Seasonic Core 550W Ref-442</t>
        </is>
      </c>
      <c r="B76" s="12" t="n">
        <v>549</v>
      </c>
      <c r="C76" s="13" t="n">
        <v>46</v>
      </c>
      <c r="D76" s="12">
        <f>B76*C76</f>
        <v/>
      </c>
    </row>
    <row r="77">
      <c r="A77" s="8" t="inlineStr">
        <is>
          <t>Vela de Ignição ACDelco Ref-709</t>
        </is>
      </c>
      <c r="B77" s="9" t="n">
        <v>32</v>
      </c>
      <c r="C77" s="10" t="n">
        <v>380</v>
      </c>
      <c r="D77" s="9">
        <f>B77*C77</f>
        <v/>
      </c>
    </row>
    <row r="78">
      <c r="A78" s="11" t="inlineStr">
        <is>
          <t>Processador AMD Ryzen 9 5900X Ref-335</t>
        </is>
      </c>
      <c r="B78" s="12" t="n">
        <v>2399</v>
      </c>
      <c r="C78" s="13" t="n">
        <v>18</v>
      </c>
      <c r="D78" s="12">
        <f>B78*C78</f>
        <v/>
      </c>
    </row>
    <row r="79">
      <c r="A79" s="8" t="inlineStr">
        <is>
          <t>Bateria Tudor 60Ah TUD60 Ref-214</t>
        </is>
      </c>
      <c r="B79" s="9" t="n">
        <v>469</v>
      </c>
      <c r="C79" s="10" t="n">
        <v>37</v>
      </c>
      <c r="D79" s="9">
        <f>B79*C79</f>
        <v/>
      </c>
    </row>
    <row r="80">
      <c r="A80" s="11" t="inlineStr">
        <is>
          <t>Filtro de Combustível Fram Ref-882</t>
        </is>
      </c>
      <c r="B80" s="12" t="n">
        <v>41</v>
      </c>
      <c r="C80" s="13" t="n">
        <v>460</v>
      </c>
      <c r="D80" s="12">
        <f>B80*C80</f>
        <v/>
      </c>
    </row>
    <row r="81">
      <c r="A81" s="8" t="inlineStr">
        <is>
          <t>Memória RAM Crucial Basics 16GB Ref-505</t>
        </is>
      </c>
      <c r="B81" s="9" t="n">
        <v>315</v>
      </c>
      <c r="C81" s="10" t="n">
        <v>92</v>
      </c>
      <c r="D81" s="9">
        <f>B81*C81</f>
        <v/>
      </c>
    </row>
    <row r="82">
      <c r="A82" s="11" t="inlineStr">
        <is>
          <t>Pastilha de Freio Traseira Brembo Ref-664</t>
        </is>
      </c>
      <c r="B82" s="12" t="n">
        <v>245</v>
      </c>
      <c r="C82" s="13" t="n">
        <v>52</v>
      </c>
      <c r="D82" s="12">
        <f>B82*C82</f>
        <v/>
      </c>
    </row>
    <row r="83">
      <c r="A83" s="8" t="inlineStr">
        <is>
          <t>Placa de Vídeo RX 7600 XT Ref-102</t>
        </is>
      </c>
      <c r="B83" s="9" t="n">
        <v>2349</v>
      </c>
      <c r="C83" s="10" t="n">
        <v>33</v>
      </c>
      <c r="D83" s="9">
        <f>B83*C83</f>
        <v/>
      </c>
    </row>
    <row r="84">
      <c r="A84" s="11" t="inlineStr">
        <is>
          <t>SSD Kingston KC3000 1TB NVMe Ref-443</t>
        </is>
      </c>
      <c r="B84" s="12" t="n">
        <v>649</v>
      </c>
      <c r="C84" s="13" t="n">
        <v>89</v>
      </c>
      <c r="D84" s="12">
        <f>B84*C84</f>
        <v/>
      </c>
    </row>
    <row r="85">
      <c r="A85" s="8" t="inlineStr">
        <is>
          <t>Disco de Freio Ventilado BD Ref-772</t>
        </is>
      </c>
      <c r="B85" s="9" t="n">
        <v>198</v>
      </c>
      <c r="C85" s="10" t="n">
        <v>115</v>
      </c>
      <c r="D85" s="9">
        <f>B85*C85</f>
        <v/>
      </c>
    </row>
    <row r="86">
      <c r="A86" s="11" t="inlineStr">
        <is>
          <t>Monitor BenQ ZOWIE 24" Ref-331</t>
        </is>
      </c>
      <c r="B86" s="12" t="n">
        <v>1699</v>
      </c>
      <c r="C86" s="13" t="n">
        <v>24</v>
      </c>
      <c r="D86" s="12">
        <f>B86*C86</f>
        <v/>
      </c>
    </row>
    <row r="87">
      <c r="A87" s="8" t="inlineStr">
        <is>
          <t>Amortecedor Traseiro Monroe OES Ref-556</t>
        </is>
      </c>
      <c r="B87" s="9" t="n">
        <v>415</v>
      </c>
      <c r="C87" s="10" t="n">
        <v>68</v>
      </c>
      <c r="D87" s="9">
        <f>B87*C87</f>
        <v/>
      </c>
    </row>
    <row r="88">
      <c r="A88" s="11" t="inlineStr">
        <is>
          <t>Óleo de Motor Mobil Super 5W40 Ref-809</t>
        </is>
      </c>
      <c r="B88" s="12" t="n">
        <v>58</v>
      </c>
      <c r="C88" s="13" t="n">
        <v>410</v>
      </c>
      <c r="D88" s="12">
        <f>B88*C88</f>
        <v/>
      </c>
    </row>
    <row r="89">
      <c r="A89" s="8" t="inlineStr">
        <is>
          <t>Placa-Mãe ASRock Steel Legend Ref-212</t>
        </is>
      </c>
      <c r="B89" s="9" t="n">
        <v>849</v>
      </c>
      <c r="C89" s="10" t="n">
        <v>73</v>
      </c>
      <c r="D89" s="9">
        <f>B89*C89</f>
        <v/>
      </c>
    </row>
    <row r="90">
      <c r="A90" s="11" t="inlineStr">
        <is>
          <t>Palheta Limpador Bosch Eco Ref-774</t>
        </is>
      </c>
      <c r="B90" s="12" t="n">
        <v>65</v>
      </c>
      <c r="C90" s="13" t="n">
        <v>290</v>
      </c>
      <c r="D90" s="12">
        <f>B90*C90</f>
        <v/>
      </c>
    </row>
    <row r="91">
      <c r="A91" s="8" t="inlineStr">
        <is>
          <t>Fonte Cooler Master 650W Ref-501</t>
        </is>
      </c>
      <c r="B91" s="9" t="n">
        <v>429</v>
      </c>
      <c r="C91" s="10" t="n">
        <v>104</v>
      </c>
      <c r="D91" s="9">
        <f>B91*C91</f>
        <v/>
      </c>
    </row>
    <row r="92">
      <c r="A92" s="11" t="inlineStr">
        <is>
          <t>Vela de Ignição Champion Ref-992</t>
        </is>
      </c>
      <c r="B92" s="12" t="n">
        <v>28</v>
      </c>
      <c r="C92" s="13" t="n">
        <v>310</v>
      </c>
      <c r="D92" s="12">
        <f>B92*C92</f>
        <v/>
      </c>
    </row>
    <row r="93">
      <c r="A93" s="8" t="inlineStr">
        <is>
          <t>Processador Intel Core i7 12700K Ref-103</t>
        </is>
      </c>
      <c r="B93" s="9" t="n">
        <v>2199</v>
      </c>
      <c r="C93" s="10" t="n">
        <v>31</v>
      </c>
      <c r="D93" s="9">
        <f>B93*C93</f>
        <v/>
      </c>
    </row>
    <row r="94">
      <c r="A94" s="11" t="inlineStr">
        <is>
          <t>Bateria Heliar 70Ah HF70GD Ref-448</t>
        </is>
      </c>
      <c r="B94" s="12" t="n">
        <v>689</v>
      </c>
      <c r="C94" s="13" t="n">
        <v>28</v>
      </c>
      <c r="D94" s="12">
        <f>B94*C94</f>
        <v/>
      </c>
    </row>
    <row r="95">
      <c r="A95" s="8" t="inlineStr">
        <is>
          <t>Filtro de Ar Elemento Tecfil Ref-339</t>
        </is>
      </c>
      <c r="B95" s="9" t="n">
        <v>46</v>
      </c>
      <c r="C95" s="10" t="n">
        <v>390</v>
      </c>
      <c r="D95" s="9">
        <f>B95*C95</f>
        <v/>
      </c>
    </row>
    <row r="96">
      <c r="A96" s="11" t="inlineStr">
        <is>
          <t>Memória RAM Netac RGB 8GB DDR4 Ref-559</t>
        </is>
      </c>
      <c r="B96" s="12" t="n">
        <v>199</v>
      </c>
      <c r="C96" s="13" t="n">
        <v>165</v>
      </c>
      <c r="D96" s="12">
        <f>B96*C96</f>
        <v/>
      </c>
    </row>
    <row r="97">
      <c r="A97" s="8" t="inlineStr">
        <is>
          <t>Pastilha de Freio Dianteira SYL Ref-702</t>
        </is>
      </c>
      <c r="B97" s="9" t="n">
        <v>98</v>
      </c>
      <c r="C97" s="10" t="n">
        <v>198</v>
      </c>
      <c r="D97" s="9">
        <f>B97*C97</f>
        <v/>
      </c>
    </row>
    <row r="98">
      <c r="A98" s="11" t="inlineStr">
        <is>
          <t>Placa de Vídeo GTX 1660 Super Ref-881</t>
        </is>
      </c>
      <c r="B98" s="12" t="n">
        <v>1349</v>
      </c>
      <c r="C98" s="13" t="n">
        <v>45</v>
      </c>
      <c r="D98" s="12">
        <f>B98*C98</f>
        <v/>
      </c>
    </row>
    <row r="99">
      <c r="A99" s="8" t="inlineStr">
        <is>
          <t>SSD ADATA Legend 512GB NVMe Ref-219</t>
        </is>
      </c>
      <c r="B99" s="9" t="n">
        <v>289</v>
      </c>
      <c r="C99" s="10" t="n">
        <v>142</v>
      </c>
      <c r="D99" s="9">
        <f>B99*C99</f>
        <v/>
      </c>
    </row>
    <row r="100">
      <c r="A100" s="11" t="inlineStr">
        <is>
          <t>Disco de Freio Solido Fremax Ref-661</t>
        </is>
      </c>
      <c r="B100" s="12" t="n">
        <v>135</v>
      </c>
      <c r="C100" s="13" t="n">
        <v>124</v>
      </c>
      <c r="D100" s="12">
        <f>B100*C100</f>
        <v/>
      </c>
    </row>
    <row r="101">
      <c r="A101" s="8" t="inlineStr">
        <is>
          <t>Monitor Philips 24" IPS 75Hz Ref-104</t>
        </is>
      </c>
      <c r="B101" s="9" t="n">
        <v>749</v>
      </c>
      <c r="C101" s="10" t="n">
        <v>76</v>
      </c>
      <c r="D101" s="9">
        <f>B101*C101</f>
        <v/>
      </c>
    </row>
    <row r="102">
      <c r="A102" s="11" t="inlineStr">
        <is>
          <t>Amortecedor Dianteiro Corven Plus Ref-552</t>
        </is>
      </c>
      <c r="B102" s="12" t="n">
        <v>385</v>
      </c>
      <c r="C102" s="13" t="n">
        <v>39</v>
      </c>
      <c r="D102" s="12">
        <f>B102*C102</f>
        <v/>
      </c>
    </row>
    <row r="103">
      <c r="A103" s="14" t="inlineStr">
        <is>
          <t>Total Geral</t>
        </is>
      </c>
      <c r="B103" s="15" t="n"/>
      <c r="C103" s="16">
        <f>SUM(C3:C102)</f>
        <v/>
      </c>
      <c r="D103" s="17">
        <f>SUM(D3:D102)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2026-05-25T13:06:35Z</dcterms:created>
  <dcterms:modified xsi:type="dcterms:W3CDTF">2026-05-25T13:06:35Z</dcterms:modified>
</cp:coreProperties>
</file>